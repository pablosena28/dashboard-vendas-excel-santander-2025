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2C6EAFCE-91D1-476C-BFFA-30B8F25FF7A4}" xr6:coauthVersionLast="47" xr6:coauthVersionMax="47" xr10:uidLastSave="{00000000-0000-0000-0000-000000000000}"/>
  <bookViews>
    <workbookView xWindow="-120" yWindow="-120" windowWidth="24240" windowHeight="13140" tabRatio="5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21" i="3"/>
</calcChain>
</file>

<file path=xl/sharedStrings.xml><?xml version="1.0" encoding="utf-8"?>
<sst xmlns="http://schemas.openxmlformats.org/spreadsheetml/2006/main" count="2024" uniqueCount="327">
  <si>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</si>
  <si>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</si>
  <si>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</si>
  <si>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</si>
  <si>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</si>
  <si>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</si>
  <si>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</si>
  <si>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</si>
  <si>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</si>
  <si>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</si>
  <si>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</si>
  <si>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</si>
  <si>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</si>
  <si>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</si>
  <si>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</si>
  <si>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</si>
  <si>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</si>
  <si>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</si>
  <si>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</si>
  <si>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</si>
  <si>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</si>
  <si>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</si>
  <si>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</si>
  <si>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</si>
  <si>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</si>
  <si>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</si>
  <si>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</si>
  <si>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</si>
  <si>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</si>
  <si>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</si>
  <si>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</si>
  <si>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</si>
  <si>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</si>
  <si>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</si>
  <si>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</si>
  <si>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</si>
  <si>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</si>
  <si>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</si>
  <si>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</si>
  <si>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</si>
  <si>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</si>
  <si>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</si>
  <si>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</si>
  <si>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</si>
  <si>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</si>
  <si>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</si>
  <si>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</si>
  <si>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</si>
  <si>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</si>
  <si>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</si>
  <si>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</si>
  <si>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</si>
  <si>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</si>
  <si>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</si>
  <si>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</si>
  <si>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</si>
  <si>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</si>
  <si>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</si>
  <si>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</si>
  <si>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</si>
  <si>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</si>
  <si>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</si>
  <si>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</si>
  <si>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</si>
  <si>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</si>
  <si>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</si>
  <si>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</si>
  <si>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</si>
  <si>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</si>
  <si>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</si>
  <si>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</si>
  <si>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</si>
  <si>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</si>
  <si>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</si>
  <si>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</si>
  <si>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</si>
  <si>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</si>
  <si>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</si>
  <si>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</si>
  <si>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</si>
  <si>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</si>
  <si>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</si>
  <si>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</si>
  <si>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</si>
  <si>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</si>
  <si>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</si>
  <si>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</si>
  <si>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</si>
  <si>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</si>
  <si>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</si>
  <si>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</si>
  <si>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</si>
  <si>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</si>
  <si>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</si>
  <si>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</si>
  <si>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</si>
  <si>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</si>
  <si>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</si>
  <si>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</si>
  <si>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</si>
  <si>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</si>
  <si>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</si>
  <si>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</si>
  <si>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</si>
  <si>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</si>
  <si>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</si>
  <si>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</si>
  <si>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</si>
  <si>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</si>
  <si>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</si>
  <si>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</si>
  <si>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</si>
  <si>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</si>
  <si>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</si>
  <si>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</si>
  <si>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</si>
  <si>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</si>
  <si>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</si>
  <si>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</si>
  <si>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</si>
  <si>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</si>
  <si>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</si>
  <si>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</si>
  <si>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</si>
  <si>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</si>
  <si>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</si>
  <si>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</si>
  <si>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</si>
  <si>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</si>
  <si>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</si>
  <si>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</si>
  <si>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</si>
  <si>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</si>
  <si>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</si>
  <si>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</si>
  <si>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</si>
  <si>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</si>
  <si>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</si>
  <si>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</si>
  <si>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</si>
  <si>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</si>
  <si>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</si>
  <si>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</si>
  <si>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</si>
  <si>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</si>
  <si>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</si>
  <si>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</si>
  <si>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</si>
  <si>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</si>
  <si>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</si>
  <si>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</si>
  <si>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</si>
  <si>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</si>
  <si>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</si>
  <si>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</si>
  <si>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</si>
  <si>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</si>
  <si>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</si>
  <si>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</si>
  <si>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</si>
  <si>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</si>
  <si>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</si>
  <si>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</si>
  <si>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</si>
  <si>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</si>
  <si>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</si>
  <si>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</si>
  <si>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</si>
  <si>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</si>
  <si>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</si>
  <si>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</si>
  <si>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</si>
  <si>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</si>
  <si>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</si>
  <si>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</si>
  <si>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</si>
  <si>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</si>
  <si>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</si>
  <si>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</si>
  <si>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</si>
  <si>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</si>
  <si>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</si>
  <si>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</si>
  <si>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</si>
  <si>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</si>
  <si>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</si>
  <si>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</si>
  <si>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</si>
  <si>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</si>
  <si>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</si>
  <si>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</si>
  <si>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</si>
  <si>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</si>
  <si>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</si>
  <si>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</si>
  <si>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</si>
  <si>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</si>
  <si>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</si>
  <si>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</si>
  <si>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</si>
  <si>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</si>
  <si>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</si>
  <si>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</si>
  <si>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</si>
  <si>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</si>
  <si>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</si>
  <si>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</si>
  <si>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</si>
  <si>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</si>
  <si>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</si>
  <si>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</si>
  <si>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</si>
  <si>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</si>
  <si>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</si>
  <si>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</si>
  <si>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</si>
  <si>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</si>
  <si>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</si>
  <si>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</si>
  <si>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</si>
  <si>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</si>
  <si>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</si>
  <si>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</si>
  <si>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</si>
  <si>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</si>
  <si>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</si>
  <si>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</si>
  <si>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</si>
  <si>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</si>
  <si>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</si>
  <si>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</si>
  <si>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</si>
  <si>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</si>
  <si>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</si>
  <si>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</si>
  <si>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</si>
  <si>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</si>
  <si>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</si>
  <si>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</si>
  <si>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</si>
  <si>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</si>
  <si>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</si>
  <si>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</si>
  <si>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</si>
  <si>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</si>
  <si>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</si>
  <si>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</si>
  <si>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</si>
  <si>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</si>
  <si>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</si>
  <si>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</si>
  <si>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</si>
  <si>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</si>
  <si>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</si>
  <si>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</si>
  <si>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</si>
  <si>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</si>
  <si>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</si>
  <si>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</si>
  <si>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</si>
  <si>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</si>
  <si>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</si>
  <si>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</si>
  <si>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</si>
  <si>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</si>
  <si>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</si>
  <si>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</si>
  <si>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</si>
  <si>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</si>
  <si>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</si>
  <si>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</si>
  <si>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</si>
  <si>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</si>
  <si>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</si>
  <si>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</si>
  <si>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</si>
  <si>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</si>
  <si>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</si>
  <si>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</si>
  <si>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</si>
  <si>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</si>
  <si>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</si>
  <si>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</si>
  <si>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</si>
  <si>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</si>
  <si>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</si>
  <si>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</si>
  <si>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</si>
  <si>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</si>
  <si>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</si>
  <si>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</si>
  <si>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</si>
  <si>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</si>
  <si>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</si>
  <si>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</si>
  <si>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</si>
  <si>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</si>
  <si>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</si>
  <si>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</si>
  <si>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</si>
  <si>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</si>
  <si>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</si>
  <si>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</si>
  <si>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</si>
  <si>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</si>
  <si>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</si>
  <si>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</si>
  <si>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</si>
  <si>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</si>
  <si>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</si>
  <si>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</si>
  <si>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</si>
  <si>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</si>
  <si>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</si>
  <si>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</si>
  <si>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(Tudo)</t>
  </si>
  <si>
    <t>Soma de Total Value</t>
  </si>
  <si>
    <t>Soma de Total Value2</t>
  </si>
  <si>
    <t xml:space="preserve">Pergunta de negócio 1: Qual faturamento total de vendas dos planos anuais (contando todas as assinaturas agregadas)? </t>
  </si>
  <si>
    <t>Pergunta de negócio 2: Qual o faturamento total de vendas de planos anuais, separado por auto renovação e por não auto renovação?</t>
  </si>
  <si>
    <t xml:space="preserve">XBOX GAMEPASS SUBSCRIPTIONS SALES </t>
  </si>
  <si>
    <t xml:space="preserve"> </t>
  </si>
  <si>
    <t>Pergunta de negócio 3: Total de assinaturas de vendas do EA PLAY.</t>
  </si>
  <si>
    <t>Soma de EA Play Season Pass</t>
  </si>
  <si>
    <t>Pergunta de negócio 4: Total de assinaturas de vendas do Minecraft Season Pass.</t>
  </si>
  <si>
    <t>Soma de Minecraft Season Pass Price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</si>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</sst>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AE6B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Border="1"/>
    <xf numFmtId="0" fontId="0" fillId="0" borderId="0" xfId="0" applyNumberFormat="1"/>
    <xf numFmtId="166" fontId="0" fillId="0" borderId="0" xfId="0" applyNumberFormat="1"/>
    <xf numFmtId="0" fontId="5" fillId="0" borderId="2" xfId="1" applyFont="1" applyBorder="1" applyAlignment="1"/>
    <xf numFmtId="0" fontId="4" fillId="0" borderId="2" xfId="1" applyFont="1" applyBorder="1" applyAlignment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auto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A3FA9A9-BD45-47C4-A91A-28A83DE09EC3}">
      <tableStyleElement type="wholeTable" dxfId="1"/>
      <tableStyleElement type="headerRow" dxfId="0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Bootcamp Santandrer 2025.xlsx]C̳álculos!Tbl_annual_total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</c:pivotFmt>
      <c:pivotFmt>
        <c:idx val="11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66760087192489"/>
          <c:y val="0.22688083989501312"/>
          <c:w val="0.70552272512054481"/>
          <c:h val="0.727990942773372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F2F-43B9-A65F-575C638BF843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2F-43B9-A65F-575C638BF843}"/>
              </c:ext>
            </c:extLst>
          </c:dPt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2F-43B9-A65F-575C638BF843}"/>
            </c:ext>
          </c:extLst>
        </c:ser>
        <c:ser>
          <c:idx val="1"/>
          <c:order val="1"/>
          <c:tx>
            <c:strRef>
              <c:f>C̳álculos!$D$7</c:f>
              <c:strCache>
                <c:ptCount val="1"/>
                <c:pt idx="0">
                  <c:v>Soma de Total Value2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2F-43B9-A65F-575C638BF843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2F-43B9-A65F-575C638BF8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C̳álculos!$D$8:$D$10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2F-43B9-A65F-575C638BF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402272"/>
        <c:axId val="212423392"/>
      </c:barChart>
      <c:catAx>
        <c:axId val="21240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423392"/>
        <c:crosses val="autoZero"/>
        <c:auto val="1"/>
        <c:lblAlgn val="ctr"/>
        <c:lblOffset val="100"/>
        <c:noMultiLvlLbl val="0"/>
      </c:catAx>
      <c:valAx>
        <c:axId val="2124233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40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1012032</xdr:colOff>
      <xdr:row>1</xdr:row>
      <xdr:rowOff>35720</xdr:rowOff>
    </xdr:from>
    <xdr:to>
      <xdr:col>0</xdr:col>
      <xdr:colOff>1738313</xdr:colOff>
      <xdr:row>5</xdr:row>
      <xdr:rowOff>58697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6CC7B4-A090-462C-BB4E-26EEC8CBD3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4" t="12813" r="70711" b="21963"/>
        <a:stretch>
          <a:fillRect/>
        </a:stretch>
      </xdr:blipFill>
      <xdr:spPr>
        <a:xfrm>
          <a:off x="1012032" y="226220"/>
          <a:ext cx="726281" cy="713540"/>
        </a:xfrm>
        <a:prstGeom prst="rect">
          <a:avLst/>
        </a:prstGeom>
      </xdr:spPr>
    </xdr:pic>
    <xdr:clientData/>
  </xdr:twoCellAnchor>
  <xdr:twoCellAnchor editAs="absolute">
    <xdr:from>
      <xdr:col>2</xdr:col>
      <xdr:colOff>357188</xdr:colOff>
      <xdr:row>16</xdr:row>
      <xdr:rowOff>178593</xdr:rowOff>
    </xdr:from>
    <xdr:to>
      <xdr:col>16</xdr:col>
      <xdr:colOff>452438</xdr:colOff>
      <xdr:row>33</xdr:row>
      <xdr:rowOff>35718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09368F-C1D4-4415-A953-5FD2551EE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71438</xdr:colOff>
      <xdr:row>7</xdr:row>
      <xdr:rowOff>404813</xdr:rowOff>
    </xdr:from>
    <xdr:to>
      <xdr:col>0</xdr:col>
      <xdr:colOff>1881187</xdr:colOff>
      <xdr:row>18</xdr:row>
      <xdr:rowOff>35718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0C7E2A41-FAA7-4DC8-B1FE-EACA2618E8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8" y="1556096"/>
              <a:ext cx="1809749" cy="19583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223628</xdr:colOff>
      <xdr:row>5</xdr:row>
      <xdr:rowOff>76742</xdr:rowOff>
    </xdr:from>
    <xdr:to>
      <xdr:col>8</xdr:col>
      <xdr:colOff>187909</xdr:colOff>
      <xdr:row>14</xdr:row>
      <xdr:rowOff>104697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A2FBA944-7BD9-8E0B-BA65-6B9A8FC5373C}"/>
            </a:ext>
          </a:extLst>
        </xdr:cNvPr>
        <xdr:cNvGrpSpPr/>
      </xdr:nvGrpSpPr>
      <xdr:grpSpPr>
        <a:xfrm>
          <a:off x="2136911" y="971264"/>
          <a:ext cx="3881955" cy="1850129"/>
          <a:chOff x="2321717" y="738187"/>
          <a:chExt cx="3845719" cy="183356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E8F80A1-CB15-44D6-A8DB-6A0194829F7C}"/>
              </a:ext>
            </a:extLst>
          </xdr:cNvPr>
          <xdr:cNvSpPr/>
        </xdr:nvSpPr>
        <xdr:spPr>
          <a:xfrm>
            <a:off x="2333625" y="785812"/>
            <a:ext cx="3833811" cy="1785938"/>
          </a:xfrm>
          <a:prstGeom prst="roundRect">
            <a:avLst>
              <a:gd name="adj" fmla="val 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A5ADEA59-C4B3-465D-8664-FA01EAAE8B39}"/>
              </a:ext>
            </a:extLst>
          </xdr:cNvPr>
          <xdr:cNvSpPr/>
        </xdr:nvSpPr>
        <xdr:spPr>
          <a:xfrm>
            <a:off x="3512345" y="1484709"/>
            <a:ext cx="2285999" cy="682228"/>
          </a:xfrm>
          <a:prstGeom prst="roundRect">
            <a:avLst>
              <a:gd name="adj" fmla="val 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F315FAB-A453-4228-80BD-5B5E9152B495}" type="TxLink">
              <a:rPr lang="en-US" sz="3200" b="0" i="0" u="none" strike="noStrike">
                <a:solidFill>
                  <a:srgbClr val="000000"/>
                </a:solidFill>
                <a:latin typeface="Aptos Narrow"/>
              </a:rPr>
              <a:t>R$ 2.940,00</a:t>
            </a:fld>
            <a:endParaRPr lang="en-US" sz="32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F96A52F-BB4A-412D-B164-2C40552A42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52688" y="1166813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04355276-41A8-4C54-DD5A-B18AB29CACB2}"/>
              </a:ext>
            </a:extLst>
          </xdr:cNvPr>
          <xdr:cNvSpPr/>
        </xdr:nvSpPr>
        <xdr:spPr>
          <a:xfrm>
            <a:off x="2321717" y="738187"/>
            <a:ext cx="3845719" cy="404812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SUBSCRIPITIONS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213277</xdr:colOff>
      <xdr:row>5</xdr:row>
      <xdr:rowOff>108967</xdr:rowOff>
    </xdr:from>
    <xdr:to>
      <xdr:col>16</xdr:col>
      <xdr:colOff>320434</xdr:colOff>
      <xdr:row>15</xdr:row>
      <xdr:rowOff>47624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3E314617-BAA2-4B62-D82B-5CD34A31B225}"/>
            </a:ext>
          </a:extLst>
        </xdr:cNvPr>
        <xdr:cNvGrpSpPr/>
      </xdr:nvGrpSpPr>
      <xdr:grpSpPr>
        <a:xfrm>
          <a:off x="6657147" y="1003489"/>
          <a:ext cx="4223613" cy="1951331"/>
          <a:chOff x="7239001" y="833437"/>
          <a:chExt cx="3845719" cy="1833563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4166C1A5-4CB9-4079-8547-132F5C6F9860}"/>
              </a:ext>
            </a:extLst>
          </xdr:cNvPr>
          <xdr:cNvGrpSpPr/>
        </xdr:nvGrpSpPr>
        <xdr:grpSpPr>
          <a:xfrm>
            <a:off x="7239001" y="833437"/>
            <a:ext cx="3845719" cy="1833563"/>
            <a:chOff x="2321717" y="738187"/>
            <a:chExt cx="3845719" cy="1833563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AB50B632-959E-A296-8C9F-C9B170F5BD24}"/>
                </a:ext>
              </a:extLst>
            </xdr:cNvPr>
            <xdr:cNvSpPr/>
          </xdr:nvSpPr>
          <xdr:spPr>
            <a:xfrm>
              <a:off x="2333625" y="785812"/>
              <a:ext cx="3833811" cy="1785938"/>
            </a:xfrm>
            <a:prstGeom prst="roundRect">
              <a:avLst>
                <a:gd name="adj" fmla="val 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2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9889E7C3-FDEA-48CE-C777-C3F437F92937}"/>
                </a:ext>
              </a:extLst>
            </xdr:cNvPr>
            <xdr:cNvSpPr/>
          </xdr:nvSpPr>
          <xdr:spPr>
            <a:xfrm>
              <a:off x="3631408" y="1508521"/>
              <a:ext cx="2285999" cy="682228"/>
            </a:xfrm>
            <a:prstGeom prst="roundRect">
              <a:avLst>
                <a:gd name="adj" fmla="val 1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F5D1B53-AF4D-4F0D-8C9D-88C87B1BC64C}" type="TxLink">
                <a:rPr lang="en-US" sz="3200" b="0" i="0" u="none" strike="noStrike">
                  <a:solidFill>
                    <a:srgbClr val="000000"/>
                  </a:solidFill>
                  <a:latin typeface="Aptos Narrow"/>
                </a:rPr>
                <a:t>R$ 3.880,00</a:t>
              </a:fld>
              <a:endParaRPr lang="en-US" sz="7200" b="0" i="0" u="none" strike="noStrike">
                <a:solidFill>
                  <a:srgbClr val="000000"/>
                </a:solidFill>
                <a:latin typeface="Aptos Narrow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EBCFF985-65B1-8B1C-5CBD-11D5F016FA3D}"/>
                </a:ext>
              </a:extLst>
            </xdr:cNvPr>
            <xdr:cNvSpPr/>
          </xdr:nvSpPr>
          <xdr:spPr>
            <a:xfrm>
              <a:off x="2321717" y="738187"/>
              <a:ext cx="3845719" cy="404812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SUBSCRIPITIONS MINECRAFT SEASON PASS</a:t>
              </a:r>
              <a:endPara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7F850179-8BAB-4265-9734-D46D144D8DC3}"/>
              </a:ext>
            </a:extLst>
          </xdr:cNvPr>
          <xdr:cNvGrpSpPr/>
        </xdr:nvGrpSpPr>
        <xdr:grpSpPr>
          <a:xfrm>
            <a:off x="7405687" y="1452562"/>
            <a:ext cx="1120852" cy="65722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DC06DF38-13F1-73B0-A90E-D13A0A452E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97530A41-A8BD-7D2C-078B-CE3BFDB265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95250</xdr:colOff>
      <xdr:row>1</xdr:row>
      <xdr:rowOff>80961</xdr:rowOff>
    </xdr:from>
    <xdr:to>
      <xdr:col>0</xdr:col>
      <xdr:colOff>790575</xdr:colOff>
      <xdr:row>5</xdr:row>
      <xdr:rowOff>85723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2DCD0D80-C93A-4ABE-B868-95E9B8A82C96}"/>
            </a:ext>
          </a:extLst>
        </xdr:cNvPr>
        <xdr:cNvSpPr/>
      </xdr:nvSpPr>
      <xdr:spPr>
        <a:xfrm>
          <a:off x="95250" y="271461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6</xdr:row>
      <xdr:rowOff>79721</xdr:rowOff>
    </xdr:from>
    <xdr:to>
      <xdr:col>0</xdr:col>
      <xdr:colOff>1905000</xdr:colOff>
      <xdr:row>7</xdr:row>
      <xdr:rowOff>339587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4D3B41B0-25BF-6188-F107-BCC3D0A68A8C}"/>
            </a:ext>
          </a:extLst>
        </xdr:cNvPr>
        <xdr:cNvSpPr/>
      </xdr:nvSpPr>
      <xdr:spPr>
        <a:xfrm>
          <a:off x="0" y="1106764"/>
          <a:ext cx="1905000" cy="384106"/>
        </a:xfrm>
        <a:prstGeom prst="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50" b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</a:t>
          </a:r>
          <a:r>
            <a:rPr lang="pt-BR" sz="1050" b="0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050" b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050" b="0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vindo (a), usário Xbox</a:t>
          </a:r>
          <a:endParaRPr lang="pt-BR" sz="1050" b="0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182216</xdr:colOff>
      <xdr:row>2</xdr:row>
      <xdr:rowOff>173934</xdr:rowOff>
    </xdr:from>
    <xdr:to>
      <xdr:col>9</xdr:col>
      <xdr:colOff>247323</xdr:colOff>
      <xdr:row>5</xdr:row>
      <xdr:rowOff>14051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F3A9CE16-F3A3-4999-ACD8-DE0AA9A3F960}"/>
            </a:ext>
          </a:extLst>
        </xdr:cNvPr>
        <xdr:cNvSpPr/>
      </xdr:nvSpPr>
      <xdr:spPr>
        <a:xfrm>
          <a:off x="2095499" y="679173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18/12/2025 22:00:00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0.00159</cdr:y>
    </cdr:from>
    <cdr:to>
      <cdr:x>1</cdr:x>
      <cdr:y>0.12888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04355276-41A8-4C54-DD5A-B18AB29CACB2}"/>
            </a:ext>
          </a:extLst>
        </cdr:cNvPr>
        <cdr:cNvSpPr/>
      </cdr:nvSpPr>
      <cdr:spPr>
        <a:xfrm xmlns:a="http://schemas.openxmlformats.org/drawingml/2006/main">
          <a:off x="0" y="4835"/>
          <a:ext cx="8477250" cy="387997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AE6B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SUBSCRIPITIONS EA PLAY SEASON PASS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009.796729629626" createdVersion="8" refreshedVersion="8" minRefreshableVersion="3" recordCount="295" xr:uid="{B7CE0111-71D6-4C77-89A7-8E2726616FA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3986078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F7ABB-C9C1-45C8-AFA1-CEE1AD16C9E0}" name="Tabela dinâ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E71AE-83BA-466F-9E62-101A4BD749EF}" name="Tbl_easeasi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6493E-D295-4673-B0A1-B7B81CEC6343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7:D10" firstHeaderRow="0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Total Value" fld="12" baseField="0" baseItem="0" numFmtId="44"/>
    <dataField name="Soma de Total Value2" fld="12" baseField="0" baseItem="0" numFmtId="44"/>
  </dataField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A08BD55-C853-4301-86EB-31A844EFC5E8}" sourceName="Subscription Type">
  <pivotTables>
    <pivotTable tabId="3" name="Tbl_annual_total"/>
    <pivotTable tabId="3" name="Tbl_easeasionpass_total"/>
    <pivotTable tabId="3" name="Tabela dinâmica4"/>
  </pivotTables>
  <data>
    <tabular pivotCacheId="39860788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3D7887C-F84C-4D47-A35C-60E2148A365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U17" sqref="U1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5" zoomScaleNormal="95" workbookViewId="0">
      <selection activeCell="U17" sqref="U1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E32"/>
  <sheetViews>
    <sheetView showGridLines="0" topLeftCell="A13" workbookViewId="0">
      <selection activeCell="U17" sqref="U1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20.28515625" bestFit="1" customWidth="1"/>
    <col min="5" max="5" width="10.57031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1:4" x14ac:dyDescent="0.25">
      <c r="A2" t="s">
        <v>318</v>
      </c>
    </row>
    <row r="3" spans="1:4" x14ac:dyDescent="0.25">
      <c r="A3" t="s">
        <v>319</v>
      </c>
    </row>
    <row r="5" spans="1:4" x14ac:dyDescent="0.25">
      <c r="B5" s="12" t="s">
        <v>16</v>
      </c>
      <c r="C5" t="s">
        <v>315</v>
      </c>
    </row>
    <row r="7" spans="1:4" x14ac:dyDescent="0.25">
      <c r="B7" s="12" t="s">
        <v>313</v>
      </c>
      <c r="C7" t="s">
        <v>316</v>
      </c>
      <c r="D7" t="s">
        <v>317</v>
      </c>
    </row>
    <row r="8" spans="1:4" x14ac:dyDescent="0.25">
      <c r="B8" s="13" t="s">
        <v>23</v>
      </c>
      <c r="C8" s="14">
        <v>3847</v>
      </c>
      <c r="D8" s="14">
        <v>3847</v>
      </c>
    </row>
    <row r="9" spans="1:4" x14ac:dyDescent="0.25">
      <c r="B9" s="13" t="s">
        <v>19</v>
      </c>
      <c r="C9" s="14">
        <v>3786</v>
      </c>
      <c r="D9" s="14">
        <v>3786</v>
      </c>
    </row>
    <row r="10" spans="1:4" x14ac:dyDescent="0.25">
      <c r="B10" s="13" t="s">
        <v>314</v>
      </c>
      <c r="C10" s="14">
        <v>7633</v>
      </c>
      <c r="D10" s="14">
        <v>7633</v>
      </c>
    </row>
    <row r="13" spans="1:4" x14ac:dyDescent="0.25">
      <c r="A13" t="s">
        <v>322</v>
      </c>
    </row>
    <row r="15" spans="1:4" x14ac:dyDescent="0.25">
      <c r="B15" s="12" t="s">
        <v>16</v>
      </c>
      <c r="C15" t="s">
        <v>315</v>
      </c>
    </row>
    <row r="17" spans="1:5" x14ac:dyDescent="0.25">
      <c r="B17" s="12" t="s">
        <v>313</v>
      </c>
      <c r="C17" t="s">
        <v>323</v>
      </c>
    </row>
    <row r="18" spans="1:5" x14ac:dyDescent="0.25">
      <c r="B18" s="13" t="s">
        <v>22</v>
      </c>
      <c r="C18" s="16">
        <v>0</v>
      </c>
    </row>
    <row r="19" spans="1:5" x14ac:dyDescent="0.25">
      <c r="B19" s="13" t="s">
        <v>26</v>
      </c>
      <c r="C19" s="16">
        <v>0</v>
      </c>
    </row>
    <row r="20" spans="1:5" x14ac:dyDescent="0.25">
      <c r="B20" s="13" t="s">
        <v>18</v>
      </c>
      <c r="C20" s="16">
        <v>2940</v>
      </c>
    </row>
    <row r="21" spans="1:5" x14ac:dyDescent="0.25">
      <c r="B21" s="13" t="s">
        <v>314</v>
      </c>
      <c r="C21" s="16">
        <v>2940</v>
      </c>
      <c r="E21" s="17">
        <f>GETPIVOTDATA("EA Play Season Pass
Price",$B$17)</f>
        <v>2940</v>
      </c>
    </row>
    <row r="24" spans="1:5" x14ac:dyDescent="0.25">
      <c r="A24" t="s">
        <v>324</v>
      </c>
    </row>
    <row r="26" spans="1:5" x14ac:dyDescent="0.25">
      <c r="B26" s="12" t="s">
        <v>16</v>
      </c>
      <c r="C26" t="s">
        <v>315</v>
      </c>
    </row>
    <row r="28" spans="1:5" x14ac:dyDescent="0.25">
      <c r="B28" s="12" t="s">
        <v>313</v>
      </c>
      <c r="C28" t="s">
        <v>325</v>
      </c>
    </row>
    <row r="29" spans="1:5" x14ac:dyDescent="0.25">
      <c r="B29" s="13" t="s">
        <v>22</v>
      </c>
      <c r="C29" s="14">
        <v>0</v>
      </c>
    </row>
    <row r="30" spans="1:5" x14ac:dyDescent="0.25">
      <c r="B30" s="13" t="s">
        <v>26</v>
      </c>
      <c r="C30" s="14">
        <v>1920</v>
      </c>
    </row>
    <row r="31" spans="1:5" x14ac:dyDescent="0.25">
      <c r="B31" s="13" t="s">
        <v>18</v>
      </c>
      <c r="C31" s="14">
        <v>1960</v>
      </c>
    </row>
    <row r="32" spans="1:5" x14ac:dyDescent="0.25">
      <c r="B32" s="13" t="s">
        <v>314</v>
      </c>
      <c r="C32" s="14">
        <v>3880</v>
      </c>
      <c r="E32" s="17">
        <f>GETPIVOTDATA("Minecraft Season Pass Price",$B$28)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S409"/>
  <sheetViews>
    <sheetView showGridLines="0" showRowColHeaders="0" tabSelected="1" topLeftCell="A3" zoomScale="115" zoomScaleNormal="115" workbookViewId="0">
      <selection activeCell="C16" sqref="C16"/>
    </sheetView>
  </sheetViews>
  <sheetFormatPr defaultRowHeight="15" x14ac:dyDescent="0.25"/>
  <cols>
    <col min="1" max="1" width="28.7109375" style="5" customWidth="1"/>
    <col min="2" max="2" width="3.5703125" customWidth="1"/>
    <col min="12" max="12" width="6.5703125" customWidth="1"/>
  </cols>
  <sheetData>
    <row r="1" spans="2:45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2:45" ht="24.75" thickBot="1" x14ac:dyDescent="0.5">
      <c r="B2" s="18"/>
      <c r="C2" s="19"/>
      <c r="D2" s="19"/>
      <c r="E2" s="19"/>
      <c r="F2" s="19"/>
      <c r="G2" s="19"/>
      <c r="H2" s="19"/>
      <c r="I2" s="19" t="s">
        <v>320</v>
      </c>
      <c r="J2" s="19"/>
      <c r="K2" s="19"/>
      <c r="L2" s="19"/>
      <c r="M2" s="20"/>
      <c r="N2" s="20"/>
      <c r="O2" s="20"/>
      <c r="P2" s="20"/>
      <c r="Q2" s="20"/>
      <c r="R2" s="20"/>
      <c r="S2" s="20"/>
    </row>
    <row r="3" spans="2:45" ht="14.25" customHeight="1" thickTop="1" x14ac:dyDescent="0.25"/>
    <row r="4" spans="2:45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2:45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spans="2:45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spans="2:45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spans="2:45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</row>
    <row r="9" spans="2:45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</row>
    <row r="10" spans="2:45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</row>
    <row r="11" spans="2:45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 t="s">
        <v>321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</row>
    <row r="12" spans="2:45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</row>
    <row r="13" spans="2:45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</row>
    <row r="14" spans="2:45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</row>
    <row r="15" spans="2:45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</row>
    <row r="16" spans="2:45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</row>
    <row r="17" spans="2:45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</row>
    <row r="18" spans="2:45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</row>
    <row r="19" spans="2:45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</row>
    <row r="20" spans="2:45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1" spans="2:45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</row>
    <row r="22" spans="2:45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</row>
    <row r="23" spans="2:4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</row>
    <row r="24" spans="2:4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</row>
    <row r="25" spans="2:45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</row>
    <row r="26" spans="2:45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</row>
    <row r="27" spans="2:45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 t="s">
        <v>326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</row>
    <row r="28" spans="2:45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</row>
    <row r="29" spans="2:45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</row>
    <row r="30" spans="2:45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</row>
    <row r="31" spans="2:45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</row>
    <row r="32" spans="2:4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</row>
    <row r="33" spans="2:4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2:45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2:45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</row>
    <row r="36" spans="2:45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</row>
    <row r="37" spans="2:45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</row>
    <row r="38" spans="2:45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</row>
    <row r="39" spans="2:45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</row>
    <row r="40" spans="2:45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</row>
    <row r="41" spans="2:4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</row>
    <row r="42" spans="2:4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</row>
    <row r="43" spans="2:45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</row>
    <row r="44" spans="2:45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</row>
    <row r="45" spans="2:45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2:45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</row>
    <row r="47" spans="2:45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</row>
    <row r="48" spans="2:45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</row>
    <row r="49" spans="2:45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</row>
    <row r="50" spans="2:4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</row>
    <row r="51" spans="2:4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</row>
    <row r="52" spans="2:45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</row>
    <row r="53" spans="2:45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2:45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</row>
    <row r="55" spans="2:45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</row>
    <row r="56" spans="2:45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</row>
    <row r="57" spans="2:45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</row>
    <row r="58" spans="2:45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</row>
    <row r="59" spans="2:4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</row>
    <row r="60" spans="2:4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</row>
    <row r="61" spans="2:45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</row>
    <row r="62" spans="2:45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</row>
    <row r="63" spans="2:45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</row>
    <row r="64" spans="2:45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</row>
    <row r="65" spans="2:45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</row>
    <row r="66" spans="2:45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</row>
    <row r="67" spans="2:45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</row>
    <row r="68" spans="2:4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spans="2:4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spans="2:45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spans="2:45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spans="2:45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spans="2:45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spans="2:45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spans="2:45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spans="2:45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spans="2:4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spans="2:4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spans="2:45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spans="2:45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spans="2:45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spans="2:45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spans="2:45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spans="2:45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spans="2:45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spans="2:4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spans="2:4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spans="2:45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spans="2:45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spans="2:45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spans="2:45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spans="2:45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spans="2:45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spans="2:45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spans="2:4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spans="2:4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spans="2:45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spans="2:45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spans="2:45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spans="2:45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spans="2:45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spans="2:45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spans="2:45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spans="2:4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spans="2:4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spans="2:45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spans="2:45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spans="2:45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spans="2:45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spans="2:45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spans="2:45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spans="2:45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spans="2:4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spans="2:4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spans="2:45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spans="2:45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spans="2:45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spans="2:45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2:45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spans="2:45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2:45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spans="2:4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spans="2:4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spans="2:45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spans="2:45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spans="2:45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spans="2:45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spans="2:45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2:45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spans="2:45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spans="2:45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spans="2:45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2:45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spans="2:45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spans="2:45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spans="2:45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spans="2:45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spans="2:45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spans="2:45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spans="2:45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spans="2:45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spans="2:45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spans="2:45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spans="2:45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spans="2:45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spans="2:45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spans="2:45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spans="2:45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spans="2:45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spans="2:45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  <row r="151" spans="2:45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</row>
    <row r="152" spans="2:45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</row>
    <row r="153" spans="2:45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</row>
    <row r="154" spans="2:45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</row>
    <row r="155" spans="2:45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 spans="2:45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</row>
    <row r="157" spans="2:45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</row>
    <row r="158" spans="2:45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</row>
    <row r="159" spans="2:45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</row>
    <row r="160" spans="2:45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</row>
    <row r="161" spans="2:45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</row>
    <row r="162" spans="2:45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</row>
    <row r="163" spans="2:45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</row>
    <row r="164" spans="2:45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</row>
    <row r="165" spans="2:45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</row>
    <row r="166" spans="2:45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</row>
    <row r="167" spans="2:45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</row>
    <row r="168" spans="2:45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</row>
    <row r="169" spans="2:45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</row>
    <row r="170" spans="2:45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</row>
    <row r="171" spans="2:45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</row>
    <row r="172" spans="2:45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</row>
    <row r="173" spans="2:45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</row>
    <row r="174" spans="2:45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</row>
    <row r="175" spans="2:45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</row>
    <row r="176" spans="2:45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</row>
    <row r="177" spans="2:45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</row>
    <row r="178" spans="2:45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</row>
    <row r="179" spans="2:45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</row>
    <row r="180" spans="2:45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</row>
    <row r="181" spans="2:45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</row>
    <row r="182" spans="2:45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</row>
    <row r="183" spans="2:45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</row>
    <row r="184" spans="2:45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</row>
    <row r="185" spans="2:45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</row>
    <row r="186" spans="2:45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</row>
    <row r="187" spans="2:45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</row>
    <row r="188" spans="2:45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</row>
    <row r="189" spans="2:45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</row>
    <row r="190" spans="2:45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</row>
    <row r="191" spans="2:45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</row>
    <row r="192" spans="2:45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</row>
    <row r="193" spans="2:45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</row>
    <row r="194" spans="2:45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</row>
    <row r="195" spans="2:45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</row>
    <row r="196" spans="2:45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</row>
    <row r="197" spans="2:45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</row>
    <row r="198" spans="2:45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</row>
    <row r="199" spans="2:45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</row>
    <row r="200" spans="2:45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</row>
    <row r="201" spans="2:45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</row>
    <row r="202" spans="2:45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</row>
    <row r="203" spans="2:45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</row>
    <row r="204" spans="2:45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</row>
    <row r="205" spans="2:45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</row>
    <row r="206" spans="2:45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</row>
    <row r="207" spans="2:45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</row>
    <row r="208" spans="2:45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</row>
    <row r="209" spans="2:45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</row>
    <row r="210" spans="2:45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</row>
    <row r="211" spans="2:45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</row>
    <row r="212" spans="2:45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</row>
    <row r="213" spans="2:45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</row>
    <row r="214" spans="2:45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</row>
    <row r="215" spans="2:45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</row>
    <row r="216" spans="2:45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</row>
    <row r="217" spans="2:45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</row>
    <row r="218" spans="2:45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</row>
    <row r="219" spans="2:45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</row>
    <row r="220" spans="2:45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</row>
    <row r="221" spans="2:45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</row>
    <row r="222" spans="2:45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</row>
    <row r="223" spans="2:45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</row>
    <row r="224" spans="2:45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</row>
    <row r="225" spans="2:45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</row>
    <row r="226" spans="2:45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</row>
    <row r="227" spans="2:45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</row>
    <row r="228" spans="2:45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</row>
    <row r="229" spans="2:45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</row>
    <row r="230" spans="2:45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</row>
    <row r="231" spans="2:45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</row>
    <row r="232" spans="2:45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</row>
    <row r="233" spans="2:45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</row>
    <row r="234" spans="2:45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</row>
    <row r="235" spans="2:45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</row>
    <row r="236" spans="2:45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</row>
    <row r="237" spans="2:45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</row>
    <row r="238" spans="2:45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</row>
    <row r="239" spans="2:45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</row>
    <row r="240" spans="2:45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</row>
    <row r="241" spans="2:45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</row>
    <row r="242" spans="2:45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</row>
    <row r="243" spans="2:45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</row>
    <row r="244" spans="2:45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</row>
    <row r="245" spans="2:45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</row>
    <row r="246" spans="2:45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</row>
    <row r="247" spans="2:45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</row>
    <row r="248" spans="2:45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</row>
    <row r="249" spans="2:45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</row>
    <row r="250" spans="2:45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</row>
    <row r="251" spans="2:45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</row>
    <row r="252" spans="2:45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</row>
    <row r="253" spans="2:45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</row>
    <row r="254" spans="2:45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</row>
    <row r="255" spans="2:45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</row>
    <row r="256" spans="2:45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</row>
    <row r="257" spans="2:45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</row>
    <row r="258" spans="2:45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</row>
    <row r="259" spans="2:45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</row>
    <row r="260" spans="2:45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</row>
    <row r="261" spans="2:45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</row>
    <row r="262" spans="2:45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</row>
    <row r="263" spans="2:45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</row>
    <row r="264" spans="2:45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</row>
    <row r="265" spans="2:45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</row>
    <row r="266" spans="2:45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</row>
    <row r="267" spans="2:45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</row>
    <row r="268" spans="2:45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</row>
    <row r="269" spans="2:45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</row>
    <row r="270" spans="2:45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</row>
    <row r="271" spans="2:45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</row>
    <row r="272" spans="2:45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</row>
    <row r="273" spans="2:45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</row>
    <row r="274" spans="2:45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</row>
    <row r="275" spans="2:45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</row>
    <row r="276" spans="2:45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</row>
    <row r="277" spans="2:45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</row>
    <row r="278" spans="2:45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</row>
    <row r="279" spans="2:45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</row>
    <row r="280" spans="2:45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</row>
    <row r="281" spans="2:45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</row>
    <row r="282" spans="2:45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</row>
    <row r="283" spans="2:45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</row>
    <row r="284" spans="2:45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</row>
    <row r="285" spans="2:45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</row>
    <row r="286" spans="2:45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</row>
    <row r="287" spans="2:45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</row>
    <row r="288" spans="2:45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</row>
    <row r="289" spans="2:45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</row>
    <row r="290" spans="2:45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</row>
    <row r="291" spans="2:45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</row>
    <row r="292" spans="2:45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</row>
    <row r="293" spans="2:45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</row>
    <row r="294" spans="2:45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</row>
    <row r="295" spans="2:45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</row>
    <row r="296" spans="2:45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</row>
    <row r="297" spans="2:45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</row>
    <row r="298" spans="2:45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</row>
    <row r="299" spans="2:45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</row>
    <row r="300" spans="2:45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</row>
    <row r="301" spans="2:45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</row>
    <row r="302" spans="2:45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</row>
    <row r="303" spans="2:45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</row>
    <row r="304" spans="2:45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</row>
    <row r="305" spans="2:45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</row>
    <row r="306" spans="2:45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</row>
    <row r="307" spans="2:45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</row>
    <row r="308" spans="2:45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</row>
    <row r="309" spans="2:45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</row>
    <row r="310" spans="2:45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</row>
    <row r="311" spans="2:45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</row>
    <row r="312" spans="2:45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</row>
    <row r="313" spans="2:45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</row>
    <row r="314" spans="2:45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</row>
    <row r="315" spans="2:45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</row>
    <row r="316" spans="2:45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</row>
    <row r="317" spans="2:45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</row>
    <row r="318" spans="2:45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</row>
    <row r="319" spans="2:45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</row>
    <row r="320" spans="2:45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</row>
    <row r="321" spans="2:45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</row>
    <row r="322" spans="2:45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</row>
    <row r="323" spans="2:45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</row>
    <row r="324" spans="2:45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</row>
    <row r="325" spans="2:45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</row>
    <row r="326" spans="2:45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</row>
    <row r="327" spans="2:45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</row>
    <row r="328" spans="2:45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</row>
    <row r="329" spans="2:45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</row>
    <row r="330" spans="2:45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</row>
    <row r="331" spans="2:45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</row>
    <row r="332" spans="2:45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</row>
    <row r="333" spans="2:45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</row>
    <row r="334" spans="2:45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</row>
    <row r="335" spans="2:45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</row>
    <row r="336" spans="2:45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</row>
    <row r="337" spans="2:45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</row>
    <row r="338" spans="2:45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</row>
    <row r="339" spans="2:45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</row>
    <row r="340" spans="2:45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</row>
    <row r="341" spans="2:45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</row>
    <row r="342" spans="2:45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</row>
    <row r="343" spans="2:45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</row>
    <row r="344" spans="2:45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</row>
    <row r="345" spans="2:45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</row>
    <row r="346" spans="2:45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</row>
    <row r="347" spans="2:45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</row>
    <row r="348" spans="2:45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</row>
    <row r="349" spans="2:45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</row>
    <row r="350" spans="2:45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</row>
    <row r="351" spans="2:45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</row>
    <row r="352" spans="2:45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</row>
    <row r="353" spans="2:45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</row>
    <row r="354" spans="2:45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</row>
    <row r="355" spans="2:45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</row>
    <row r="356" spans="2:45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</row>
    <row r="357" spans="2:45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</row>
    <row r="358" spans="2:45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</row>
    <row r="359" spans="2:45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</row>
    <row r="360" spans="2:45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</row>
    <row r="361" spans="2:45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</row>
    <row r="362" spans="2:45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</row>
    <row r="363" spans="2:45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</row>
    <row r="364" spans="2:45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</row>
    <row r="365" spans="2:45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</row>
    <row r="366" spans="2:45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</row>
    <row r="367" spans="2:45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</row>
    <row r="368" spans="2:45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</row>
    <row r="369" spans="2:45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</row>
    <row r="370" spans="2:45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</row>
    <row r="371" spans="2:45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</row>
    <row r="372" spans="2:45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</row>
    <row r="373" spans="2:45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</row>
    <row r="374" spans="2:45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</row>
    <row r="375" spans="2:45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</row>
    <row r="376" spans="2:45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</row>
    <row r="377" spans="2:45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</row>
    <row r="378" spans="2:45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</row>
    <row r="379" spans="2:45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</row>
    <row r="380" spans="2:45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</row>
    <row r="381" spans="2:45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</row>
    <row r="382" spans="2:45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</row>
    <row r="383" spans="2:45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</row>
    <row r="384" spans="2:45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</row>
    <row r="385" spans="2:45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</row>
    <row r="386" spans="2:45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</row>
    <row r="387" spans="2:45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</row>
    <row r="388" spans="2:45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</row>
    <row r="389" spans="2:45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</row>
    <row r="390" spans="2:45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</row>
    <row r="391" spans="2:45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</row>
    <row r="392" spans="2:45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</row>
    <row r="393" spans="2:45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</row>
    <row r="394" spans="2:45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</row>
    <row r="395" spans="2:45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</row>
    <row r="396" spans="2:45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</row>
    <row r="397" spans="2:45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</row>
    <row r="398" spans="2:45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</row>
    <row r="399" spans="2:45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</row>
    <row r="400" spans="2:45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</row>
    <row r="401" spans="2:45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</row>
    <row r="402" spans="2:45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</row>
    <row r="403" spans="2:45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</row>
    <row r="404" spans="2:45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</row>
    <row r="405" spans="2:45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</row>
    <row r="406" spans="2:45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</row>
    <row r="407" spans="2:45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</row>
    <row r="408" spans="2:45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</row>
    <row r="409" spans="2:45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Pablo Sena</cp:lastModifiedBy>
  <dcterms:created xsi:type="dcterms:W3CDTF">2024-12-19T13:13:10Z</dcterms:created>
  <dcterms:modified xsi:type="dcterms:W3CDTF">2025-12-19T01:44:36Z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